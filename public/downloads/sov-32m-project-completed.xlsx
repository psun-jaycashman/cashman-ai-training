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030303"/>
      <sz val="18"/>
    </font>
    <font>
      <name val="Calibri"/>
      <i val="1"/>
      <color rgb="00272525"/>
      <sz val="10"/>
    </font>
    <font>
      <name val="Calibri"/>
      <i val="1"/>
      <color rgb="002B6E2B"/>
      <sz val="10"/>
    </font>
    <font>
      <name val="Calibri"/>
      <b val="1"/>
      <color rgb="00FFFFFF"/>
      <sz val="11"/>
    </font>
    <font>
      <name val="Calibri"/>
      <color rgb="00272525"/>
      <sz val="10"/>
    </font>
    <font>
      <name val="Calibri"/>
      <b val="1"/>
      <color rgb="00030303"/>
      <sz val="10"/>
    </font>
    <font>
      <name val="Calibri"/>
      <i val="1"/>
      <color rgb="00888888"/>
      <sz val="10"/>
    </font>
    <font>
      <name val="Calibri"/>
      <i val="1"/>
      <color rgb="00EEEEEE"/>
      <sz val="10"/>
    </font>
    <font>
      <name val="Calibri"/>
      <b val="1"/>
      <color rgb="00030303"/>
      <sz val="11"/>
    </font>
    <font>
      <name val="Consolas"/>
      <color rgb="00272525"/>
      <sz val="10"/>
    </font>
  </fonts>
  <fills count="5">
    <fill>
      <patternFill/>
    </fill>
    <fill>
      <patternFill patternType="gray125"/>
    </fill>
    <fill>
      <patternFill patternType="solid">
        <fgColor rgb="002B6E2B"/>
      </patternFill>
    </fill>
    <fill>
      <patternFill patternType="solid">
        <fgColor rgb="00C8E9C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6" fillId="3" borderId="0" applyAlignment="1" pivotButton="0" quotePrefix="0" xfId="0">
      <alignment horizontal="left" vertical="center"/>
    </xf>
    <xf numFmtId="0" fontId="6" fillId="4" borderId="1" pivotButton="0" quotePrefix="0" xfId="0"/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0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4" fillId="2" borderId="1" pivotButton="0" quotePrefix="0" xfId="0"/>
    <xf numFmtId="0" fontId="4" fillId="2" borderId="1" applyAlignment="1" pivotButton="0" quotePrefix="0" xfId="0">
      <alignment horizontal="left" vertical="center" wrapText="1"/>
    </xf>
    <xf numFmtId="164" fontId="4" fillId="2" borderId="1" applyAlignment="1" pivotButton="0" quotePrefix="0" xfId="0">
      <alignment horizontal="right" vertical="center"/>
    </xf>
    <xf numFmtId="10" fontId="4" fillId="2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38" customWidth="1" min="3" max="3"/>
    <col width="17" customWidth="1" min="4" max="4"/>
    <col width="17" customWidth="1" min="5" max="5"/>
    <col width="14" customWidth="1" min="6" max="6"/>
    <col width="16" customWidth="1" min="7" max="7"/>
    <col width="12" customWidth="1" min="8" max="8"/>
    <col width="16" customWidth="1" min="9" max="9"/>
    <col width="14" customWidth="1" min="10" max="10"/>
    <col width="17" customWidth="1" min="11" max="11"/>
    <col width="16" customWidth="1" min="12" max="12"/>
  </cols>
  <sheetData>
    <row r="1">
      <c r="A1" s="1" t="inlineStr">
        <is>
          <t>Cashman Marine — Hypothetical Project  ·  ANSWER KEY</t>
        </is>
      </c>
    </row>
    <row r="2">
      <c r="A2" s="2" t="inlineStr">
        <is>
          <t>Schedule of Values  ·  Total Contract: $32,000,000  ·  Period billed to date: ~32%  ·  Retention rate: 10%</t>
        </is>
      </c>
    </row>
    <row r="3">
      <c r="A3" s="3" t="inlineStr">
        <is>
          <t>Reference workbook with all formulas filled in. Compare against your submission. Click any G–L cell to see the actual formula.</t>
        </is>
      </c>
    </row>
    <row r="4" ht="6" customHeight="1"/>
    <row r="5" ht="32" customHeight="1">
      <c r="A5" s="4" t="inlineStr">
        <is>
          <t>#</t>
        </is>
      </c>
      <c r="B5" s="4" t="inlineStr">
        <is>
          <t>Division</t>
        </is>
      </c>
      <c r="C5" s="4" t="inlineStr">
        <is>
          <t>Line Item Description</t>
        </is>
      </c>
      <c r="D5" s="4" t="inlineStr">
        <is>
          <t>Total Contract Amount</t>
        </is>
      </c>
      <c r="E5" s="4" t="inlineStr">
        <is>
          <t>Previously Billed</t>
        </is>
      </c>
      <c r="F5" s="4" t="inlineStr">
        <is>
          <t>This Period</t>
        </is>
      </c>
      <c r="G5" s="4" t="inlineStr">
        <is>
          <t>Total Billed (formula)</t>
        </is>
      </c>
      <c r="H5" s="4" t="inlineStr">
        <is>
          <t>% Complete (formula)</t>
        </is>
      </c>
      <c r="I5" s="4" t="inlineStr">
        <is>
          <t>Remaining (formula)</t>
        </is>
      </c>
      <c r="J5" s="4" t="inlineStr">
        <is>
          <t>Retention 10% (formula)</t>
        </is>
      </c>
      <c r="K5" s="4" t="inlineStr">
        <is>
          <t>Net Earned to Date (formula)</t>
        </is>
      </c>
      <c r="L5" s="4" t="inlineStr">
        <is>
          <t>Status (formula)</t>
        </is>
      </c>
    </row>
    <row r="6">
      <c r="A6" s="5" t="n">
        <v>1</v>
      </c>
      <c r="B6" s="6" t="inlineStr">
        <is>
          <t>01 — General Requirements</t>
        </is>
      </c>
      <c r="C6" s="6" t="inlineStr">
        <is>
          <t>Mobilization</t>
        </is>
      </c>
      <c r="D6" s="7" t="n">
        <v>1200000</v>
      </c>
      <c r="E6" s="7" t="n">
        <v>1050000</v>
      </c>
      <c r="F6" s="7" t="n">
        <v>150000</v>
      </c>
      <c r="G6" s="7">
        <f>E6+F6</f>
        <v/>
      </c>
      <c r="H6" s="8">
        <f>IFERROR(G6/D6,0)</f>
        <v/>
      </c>
      <c r="I6" s="7">
        <f>D6-G6</f>
        <v/>
      </c>
      <c r="J6" s="7">
        <f>G6*0.1</f>
        <v/>
      </c>
      <c r="K6" s="7">
        <f>G6-J6</f>
        <v/>
      </c>
      <c r="L6" s="5">
        <f>IFS(D6=0,"",H6=1,"COMPLETE",H6&gt;=0.9,"NEAR COMPLETE",H6&gt;0,"IN PROGRESS",TRUE,"NOT STARTED")</f>
        <v/>
      </c>
    </row>
    <row r="7">
      <c r="A7" s="5" t="n">
        <v>2</v>
      </c>
      <c r="B7" s="6" t="inlineStr">
        <is>
          <t>01 — General Requirements</t>
        </is>
      </c>
      <c r="C7" s="6" t="inlineStr">
        <is>
          <t>Bonds &amp; Insurance</t>
        </is>
      </c>
      <c r="D7" s="7" t="n">
        <v>480000</v>
      </c>
      <c r="E7" s="7" t="n">
        <v>480000</v>
      </c>
      <c r="F7" s="7" t="n">
        <v>0</v>
      </c>
      <c r="G7" s="7">
        <f>E7+F7</f>
        <v/>
      </c>
      <c r="H7" s="8">
        <f>IFERROR(G7/D7,0)</f>
        <v/>
      </c>
      <c r="I7" s="7">
        <f>D7-G7</f>
        <v/>
      </c>
      <c r="J7" s="7">
        <f>G7*0.1</f>
        <v/>
      </c>
      <c r="K7" s="7">
        <f>G7-J7</f>
        <v/>
      </c>
      <c r="L7" s="5">
        <f>IFS(D7=0,"",H7=1,"COMPLETE",H7&gt;=0.9,"NEAR COMPLETE",H7&gt;0,"IN PROGRESS",TRUE,"NOT STARTED")</f>
        <v/>
      </c>
    </row>
    <row r="8">
      <c r="A8" s="5" t="n">
        <v>3</v>
      </c>
      <c r="B8" s="6" t="inlineStr">
        <is>
          <t>01 — General Requirements</t>
        </is>
      </c>
      <c r="C8" s="6" t="inlineStr">
        <is>
          <t>Project Management (monthly)</t>
        </is>
      </c>
      <c r="D8" s="7" t="n">
        <v>700000</v>
      </c>
      <c r="E8" s="7" t="n">
        <v>180000</v>
      </c>
      <c r="F8" s="7" t="n">
        <v>44000</v>
      </c>
      <c r="G8" s="7">
        <f>E8+F8</f>
        <v/>
      </c>
      <c r="H8" s="8">
        <f>IFERROR(G8/D8,0)</f>
        <v/>
      </c>
      <c r="I8" s="7">
        <f>D8-G8</f>
        <v/>
      </c>
      <c r="J8" s="7">
        <f>G8*0.1</f>
        <v/>
      </c>
      <c r="K8" s="7">
        <f>G8-J8</f>
        <v/>
      </c>
      <c r="L8" s="5">
        <f>IFS(D8=0,"",H8=1,"COMPLETE",H8&gt;=0.9,"NEAR COMPLETE",H8&gt;0,"IN PROGRESS",TRUE,"NOT STARTED")</f>
        <v/>
      </c>
    </row>
    <row r="9">
      <c r="A9" s="5" t="n">
        <v>4</v>
      </c>
      <c r="B9" s="6" t="inlineStr">
        <is>
          <t>01 — General Requirements</t>
        </is>
      </c>
      <c r="C9" s="6" t="inlineStr">
        <is>
          <t>Field Office / Temporary Facilities</t>
        </is>
      </c>
      <c r="D9" s="7" t="n">
        <v>320000</v>
      </c>
      <c r="E9" s="7" t="n">
        <v>270000</v>
      </c>
      <c r="F9" s="7" t="n">
        <v>50000</v>
      </c>
      <c r="G9" s="7">
        <f>E9+F9</f>
        <v/>
      </c>
      <c r="H9" s="8">
        <f>IFERROR(G9/D9,0)</f>
        <v/>
      </c>
      <c r="I9" s="7">
        <f>D9-G9</f>
        <v/>
      </c>
      <c r="J9" s="7">
        <f>G9*0.1</f>
        <v/>
      </c>
      <c r="K9" s="7">
        <f>G9-J9</f>
        <v/>
      </c>
      <c r="L9" s="5">
        <f>IFS(D9=0,"",H9=1,"COMPLETE",H9&gt;=0.9,"NEAR COMPLETE",H9&gt;0,"IN PROGRESS",TRUE,"NOT STARTED")</f>
        <v/>
      </c>
    </row>
    <row r="10">
      <c r="A10" s="5" t="n">
        <v>5</v>
      </c>
      <c r="B10" s="6" t="inlineStr">
        <is>
          <t>01 — General Requirements</t>
        </is>
      </c>
      <c r="C10" s="6" t="inlineStr">
        <is>
          <t>Quality Control Program</t>
        </is>
      </c>
      <c r="D10" s="7" t="n">
        <v>300000</v>
      </c>
      <c r="E10" s="7" t="n">
        <v>75000</v>
      </c>
      <c r="F10" s="7" t="n">
        <v>21000</v>
      </c>
      <c r="G10" s="7">
        <f>E10+F10</f>
        <v/>
      </c>
      <c r="H10" s="8">
        <f>IFERROR(G10/D10,0)</f>
        <v/>
      </c>
      <c r="I10" s="7">
        <f>D10-G10</f>
        <v/>
      </c>
      <c r="J10" s="7">
        <f>G10*0.1</f>
        <v/>
      </c>
      <c r="K10" s="7">
        <f>G10-J10</f>
        <v/>
      </c>
      <c r="L10" s="5">
        <f>IFS(D10=0,"",H10=1,"COMPLETE",H10&gt;=0.9,"NEAR COMPLETE",H10&gt;0,"IN PROGRESS",TRUE,"NOT STARTED")</f>
        <v/>
      </c>
    </row>
    <row r="11">
      <c r="A11" s="5" t="n">
        <v>6</v>
      </c>
      <c r="B11" s="6" t="inlineStr">
        <is>
          <t>02 — Existing Conditions</t>
        </is>
      </c>
      <c r="C11" s="6" t="inlineStr">
        <is>
          <t>Demolition of existing structures</t>
        </is>
      </c>
      <c r="D11" s="7" t="n">
        <v>1800000</v>
      </c>
      <c r="E11" s="7" t="n">
        <v>1500000</v>
      </c>
      <c r="F11" s="7" t="n">
        <v>210000</v>
      </c>
      <c r="G11" s="7">
        <f>E11+F11</f>
        <v/>
      </c>
      <c r="H11" s="8">
        <f>IFERROR(G11/D11,0)</f>
        <v/>
      </c>
      <c r="I11" s="7">
        <f>D11-G11</f>
        <v/>
      </c>
      <c r="J11" s="7">
        <f>G11*0.1</f>
        <v/>
      </c>
      <c r="K11" s="7">
        <f>G11-J11</f>
        <v/>
      </c>
      <c r="L11" s="5">
        <f>IFS(D11=0,"",H11=1,"COMPLETE",H11&gt;=0.9,"NEAR COMPLETE",H11&gt;0,"IN PROGRESS",TRUE,"NOT STARTED")</f>
        <v/>
      </c>
    </row>
    <row r="12">
      <c r="A12" s="5" t="n">
        <v>7</v>
      </c>
      <c r="B12" s="6" t="inlineStr">
        <is>
          <t>02 — Existing Conditions</t>
        </is>
      </c>
      <c r="C12" s="6" t="inlineStr">
        <is>
          <t>Disposal &amp; Hauling</t>
        </is>
      </c>
      <c r="D12" s="7" t="n">
        <v>600000</v>
      </c>
      <c r="E12" s="7" t="n">
        <v>380000</v>
      </c>
      <c r="F12" s="7" t="n">
        <v>70000</v>
      </c>
      <c r="G12" s="7">
        <f>E12+F12</f>
        <v/>
      </c>
      <c r="H12" s="8">
        <f>IFERROR(G12/D12,0)</f>
        <v/>
      </c>
      <c r="I12" s="7">
        <f>D12-G12</f>
        <v/>
      </c>
      <c r="J12" s="7">
        <f>G12*0.1</f>
        <v/>
      </c>
      <c r="K12" s="7">
        <f>G12-J12</f>
        <v/>
      </c>
      <c r="L12" s="5">
        <f>IFS(D12=0,"",H12=1,"COMPLETE",H12&gt;=0.9,"NEAR COMPLETE",H12&gt;0,"IN PROGRESS",TRUE,"NOT STARTED")</f>
        <v/>
      </c>
    </row>
    <row r="13">
      <c r="A13" s="5" t="n">
        <v>8</v>
      </c>
      <c r="B13" s="6" t="inlineStr">
        <is>
          <t>03 — Concrete</t>
        </is>
      </c>
      <c r="C13" s="6" t="inlineStr">
        <is>
          <t>Cast-in-place concrete (caps)</t>
        </is>
      </c>
      <c r="D13" s="7" t="n">
        <v>2400000</v>
      </c>
      <c r="E13" s="7" t="n">
        <v>180000</v>
      </c>
      <c r="F13" s="7" t="n">
        <v>180000</v>
      </c>
      <c r="G13" s="7">
        <f>E13+F13</f>
        <v/>
      </c>
      <c r="H13" s="8">
        <f>IFERROR(G13/D13,0)</f>
        <v/>
      </c>
      <c r="I13" s="7">
        <f>D13-G13</f>
        <v/>
      </c>
      <c r="J13" s="7">
        <f>G13*0.1</f>
        <v/>
      </c>
      <c r="K13" s="7">
        <f>G13-J13</f>
        <v/>
      </c>
      <c r="L13" s="5">
        <f>IFS(D13=0,"",H13=1,"COMPLETE",H13&gt;=0.9,"NEAR COMPLETE",H13&gt;0,"IN PROGRESS",TRUE,"NOT STARTED")</f>
        <v/>
      </c>
    </row>
    <row r="14">
      <c r="A14" s="5" t="n">
        <v>9</v>
      </c>
      <c r="B14" s="6" t="inlineStr">
        <is>
          <t>03 — Concrete</t>
        </is>
      </c>
      <c r="C14" s="6" t="inlineStr">
        <is>
          <t>Reinforcing steel</t>
        </is>
      </c>
      <c r="D14" s="7" t="n">
        <v>880000</v>
      </c>
      <c r="E14" s="7" t="n">
        <v>100000</v>
      </c>
      <c r="F14" s="7" t="n">
        <v>93600</v>
      </c>
      <c r="G14" s="7">
        <f>E14+F14</f>
        <v/>
      </c>
      <c r="H14" s="8">
        <f>IFERROR(G14/D14,0)</f>
        <v/>
      </c>
      <c r="I14" s="7">
        <f>D14-G14</f>
        <v/>
      </c>
      <c r="J14" s="7">
        <f>G14*0.1</f>
        <v/>
      </c>
      <c r="K14" s="7">
        <f>G14-J14</f>
        <v/>
      </c>
      <c r="L14" s="5">
        <f>IFS(D14=0,"",H14=1,"COMPLETE",H14&gt;=0.9,"NEAR COMPLETE",H14&gt;0,"IN PROGRESS",TRUE,"NOT STARTED")</f>
        <v/>
      </c>
    </row>
    <row r="15">
      <c r="A15" s="5" t="n">
        <v>10</v>
      </c>
      <c r="B15" s="6" t="inlineStr">
        <is>
          <t>03 — Concrete</t>
        </is>
      </c>
      <c r="C15" s="6" t="inlineStr">
        <is>
          <t>Formwork</t>
        </is>
      </c>
      <c r="D15" s="7" t="n">
        <v>720000</v>
      </c>
      <c r="E15" s="7" t="n">
        <v>100000</v>
      </c>
      <c r="F15" s="7" t="n">
        <v>101600</v>
      </c>
      <c r="G15" s="7">
        <f>E15+F15</f>
        <v/>
      </c>
      <c r="H15" s="8">
        <f>IFERROR(G15/D15,0)</f>
        <v/>
      </c>
      <c r="I15" s="7">
        <f>D15-G15</f>
        <v/>
      </c>
      <c r="J15" s="7">
        <f>G15*0.1</f>
        <v/>
      </c>
      <c r="K15" s="7">
        <f>G15-J15</f>
        <v/>
      </c>
      <c r="L15" s="5">
        <f>IFS(D15=0,"",H15=1,"COMPLETE",H15&gt;=0.9,"NEAR COMPLETE",H15&gt;0,"IN PROGRESS",TRUE,"NOT STARTED")</f>
        <v/>
      </c>
    </row>
    <row r="16">
      <c r="A16" s="5" t="n">
        <v>11</v>
      </c>
      <c r="B16" s="6" t="inlineStr">
        <is>
          <t>05 — Metals</t>
        </is>
      </c>
      <c r="C16" s="6" t="inlineStr">
        <is>
          <t>Sheet pile fabrication</t>
        </is>
      </c>
      <c r="D16" s="7" t="n">
        <v>4200000</v>
      </c>
      <c r="E16" s="7" t="n">
        <v>2400000</v>
      </c>
      <c r="F16" s="7" t="n">
        <v>330000</v>
      </c>
      <c r="G16" s="7">
        <f>E16+F16</f>
        <v/>
      </c>
      <c r="H16" s="8">
        <f>IFERROR(G16/D16,0)</f>
        <v/>
      </c>
      <c r="I16" s="7">
        <f>D16-G16</f>
        <v/>
      </c>
      <c r="J16" s="7">
        <f>G16*0.1</f>
        <v/>
      </c>
      <c r="K16" s="7">
        <f>G16-J16</f>
        <v/>
      </c>
      <c r="L16" s="5">
        <f>IFS(D16=0,"",H16=1,"COMPLETE",H16&gt;=0.9,"NEAR COMPLETE",H16&gt;0,"IN PROGRESS",TRUE,"NOT STARTED")</f>
        <v/>
      </c>
    </row>
    <row r="17">
      <c r="A17" s="5" t="n">
        <v>12</v>
      </c>
      <c r="B17" s="6" t="inlineStr">
        <is>
          <t>05 — Metals</t>
        </is>
      </c>
      <c r="C17" s="6" t="inlineStr">
        <is>
          <t>Sheet pile delivery to site</t>
        </is>
      </c>
      <c r="D17" s="7" t="n">
        <v>480000</v>
      </c>
      <c r="E17" s="7" t="n">
        <v>200000</v>
      </c>
      <c r="F17" s="7" t="n">
        <v>88000</v>
      </c>
      <c r="G17" s="7">
        <f>E17+F17</f>
        <v/>
      </c>
      <c r="H17" s="8">
        <f>IFERROR(G17/D17,0)</f>
        <v/>
      </c>
      <c r="I17" s="7">
        <f>D17-G17</f>
        <v/>
      </c>
      <c r="J17" s="7">
        <f>G17*0.1</f>
        <v/>
      </c>
      <c r="K17" s="7">
        <f>G17-J17</f>
        <v/>
      </c>
      <c r="L17" s="5">
        <f>IFS(D17=0,"",H17=1,"COMPLETE",H17&gt;=0.9,"NEAR COMPLETE",H17&gt;0,"IN PROGRESS",TRUE,"NOT STARTED")</f>
        <v/>
      </c>
    </row>
    <row r="18">
      <c r="A18" s="5" t="n">
        <v>13</v>
      </c>
      <c r="B18" s="6" t="inlineStr">
        <is>
          <t>05 — Metals</t>
        </is>
      </c>
      <c r="C18" s="6" t="inlineStr">
        <is>
          <t>Miscellaneous structural steel</t>
        </is>
      </c>
      <c r="D18" s="7" t="n">
        <v>520000</v>
      </c>
      <c r="E18" s="7" t="n">
        <v>40000</v>
      </c>
      <c r="F18" s="7" t="n">
        <v>22400</v>
      </c>
      <c r="G18" s="7">
        <f>E18+F18</f>
        <v/>
      </c>
      <c r="H18" s="8">
        <f>IFERROR(G18/D18,0)</f>
        <v/>
      </c>
      <c r="I18" s="7">
        <f>D18-G18</f>
        <v/>
      </c>
      <c r="J18" s="7">
        <f>G18*0.1</f>
        <v/>
      </c>
      <c r="K18" s="7">
        <f>G18-J18</f>
        <v/>
      </c>
      <c r="L18" s="5">
        <f>IFS(D18=0,"",H18=1,"COMPLETE",H18&gt;=0.9,"NEAR COMPLETE",H18&gt;0,"IN PROGRESS",TRUE,"NOT STARTED")</f>
        <v/>
      </c>
    </row>
    <row r="19">
      <c r="A19" s="5" t="n">
        <v>14</v>
      </c>
      <c r="B19" s="6" t="inlineStr">
        <is>
          <t>31 — Earthwork</t>
        </is>
      </c>
      <c r="C19" s="6" t="inlineStr">
        <is>
          <t>Dredging</t>
        </is>
      </c>
      <c r="D19" s="7" t="n">
        <v>3600000</v>
      </c>
      <c r="E19" s="7" t="n">
        <v>1050000</v>
      </c>
      <c r="F19" s="7" t="n">
        <v>318000</v>
      </c>
      <c r="G19" s="7">
        <f>E19+F19</f>
        <v/>
      </c>
      <c r="H19" s="8">
        <f>IFERROR(G19/D19,0)</f>
        <v/>
      </c>
      <c r="I19" s="7">
        <f>D19-G19</f>
        <v/>
      </c>
      <c r="J19" s="7">
        <f>G19*0.1</f>
        <v/>
      </c>
      <c r="K19" s="7">
        <f>G19-J19</f>
        <v/>
      </c>
      <c r="L19" s="5">
        <f>IFS(D19=0,"",H19=1,"COMPLETE",H19&gt;=0.9,"NEAR COMPLETE",H19&gt;0,"IN PROGRESS",TRUE,"NOT STARTED")</f>
        <v/>
      </c>
    </row>
    <row r="20">
      <c r="A20" s="5" t="n">
        <v>15</v>
      </c>
      <c r="B20" s="6" t="inlineStr">
        <is>
          <t>31 — Earthwork</t>
        </is>
      </c>
      <c r="C20" s="6" t="inlineStr">
        <is>
          <t>Backfill</t>
        </is>
      </c>
      <c r="D20" s="7" t="n">
        <v>1400000</v>
      </c>
      <c r="E20" s="7" t="n">
        <v>0</v>
      </c>
      <c r="F20" s="7" t="n">
        <v>0</v>
      </c>
      <c r="G20" s="7">
        <f>E20+F20</f>
        <v/>
      </c>
      <c r="H20" s="8">
        <f>IFERROR(G20/D20,0)</f>
        <v/>
      </c>
      <c r="I20" s="7">
        <f>D20-G20</f>
        <v/>
      </c>
      <c r="J20" s="7">
        <f>G20*0.1</f>
        <v/>
      </c>
      <c r="K20" s="7">
        <f>G20-J20</f>
        <v/>
      </c>
      <c r="L20" s="5">
        <f>IFS(D20=0,"",H20=1,"COMPLETE",H20&gt;=0.9,"NEAR COMPLETE",H20&gt;0,"IN PROGRESS",TRUE,"NOT STARTED")</f>
        <v/>
      </c>
    </row>
    <row r="21">
      <c r="A21" s="5" t="n">
        <v>16</v>
      </c>
      <c r="B21" s="6" t="inlineStr">
        <is>
          <t>33 — Utilities</t>
        </is>
      </c>
      <c r="C21" s="6" t="inlineStr">
        <is>
          <t>Stormwater management</t>
        </is>
      </c>
      <c r="D21" s="7" t="n">
        <v>400000</v>
      </c>
      <c r="E21" s="7" t="n">
        <v>0</v>
      </c>
      <c r="F21" s="7" t="n">
        <v>0</v>
      </c>
      <c r="G21" s="7">
        <f>E21+F21</f>
        <v/>
      </c>
      <c r="H21" s="8">
        <f>IFERROR(G21/D21,0)</f>
        <v/>
      </c>
      <c r="I21" s="7">
        <f>D21-G21</f>
        <v/>
      </c>
      <c r="J21" s="7">
        <f>G21*0.1</f>
        <v/>
      </c>
      <c r="K21" s="7">
        <f>G21-J21</f>
        <v/>
      </c>
      <c r="L21" s="5">
        <f>IFS(D21=0,"",H21=1,"COMPLETE",H21&gt;=0.9,"NEAR COMPLETE",H21&gt;0,"IN PROGRESS",TRUE,"NOT STARTED")</f>
        <v/>
      </c>
    </row>
    <row r="22">
      <c r="A22" s="5" t="n">
        <v>17</v>
      </c>
      <c r="B22" s="6" t="inlineStr">
        <is>
          <t>35 — Marine Construction</t>
        </is>
      </c>
      <c r="C22" s="6" t="inlineStr">
        <is>
          <t>Sheet pile installation</t>
        </is>
      </c>
      <c r="D22" s="7" t="n">
        <v>5800000</v>
      </c>
      <c r="E22" s="7" t="n">
        <v>400000</v>
      </c>
      <c r="F22" s="7" t="n">
        <v>296000</v>
      </c>
      <c r="G22" s="7">
        <f>E22+F22</f>
        <v/>
      </c>
      <c r="H22" s="8">
        <f>IFERROR(G22/D22,0)</f>
        <v/>
      </c>
      <c r="I22" s="7">
        <f>D22-G22</f>
        <v/>
      </c>
      <c r="J22" s="7">
        <f>G22*0.1</f>
        <v/>
      </c>
      <c r="K22" s="7">
        <f>G22-J22</f>
        <v/>
      </c>
      <c r="L22" s="5">
        <f>IFS(D22=0,"",H22=1,"COMPLETE",H22&gt;=0.9,"NEAR COMPLETE",H22&gt;0,"IN PROGRESS",TRUE,"NOT STARTED")</f>
        <v/>
      </c>
    </row>
    <row r="23">
      <c r="A23" s="5" t="n">
        <v>18</v>
      </c>
      <c r="B23" s="6" t="inlineStr">
        <is>
          <t>35 — Marine Construction</t>
        </is>
      </c>
      <c r="C23" s="6" t="inlineStr">
        <is>
          <t>Pile driving</t>
        </is>
      </c>
      <c r="D23" s="7" t="n">
        <v>3200000</v>
      </c>
      <c r="E23" s="7" t="n">
        <v>0</v>
      </c>
      <c r="F23" s="7" t="n">
        <v>160000</v>
      </c>
      <c r="G23" s="7">
        <f>E23+F23</f>
        <v/>
      </c>
      <c r="H23" s="8">
        <f>IFERROR(G23/D23,0)</f>
        <v/>
      </c>
      <c r="I23" s="7">
        <f>D23-G23</f>
        <v/>
      </c>
      <c r="J23" s="7">
        <f>G23*0.1</f>
        <v/>
      </c>
      <c r="K23" s="7">
        <f>G23-J23</f>
        <v/>
      </c>
      <c r="L23" s="5">
        <f>IFS(D23=0,"",H23=1,"COMPLETE",H23&gt;=0.9,"NEAR COMPLETE",H23&gt;0,"IN PROGRESS",TRUE,"NOT STARTED")</f>
        <v/>
      </c>
    </row>
    <row r="24">
      <c r="A24" s="5" t="n">
        <v>19</v>
      </c>
      <c r="B24" s="6" t="inlineStr">
        <is>
          <t>35 — Marine Construction</t>
        </is>
      </c>
      <c r="C24" s="6" t="inlineStr">
        <is>
          <t>Fender system installation</t>
        </is>
      </c>
      <c r="D24" s="7" t="n">
        <v>1800000</v>
      </c>
      <c r="E24" s="7" t="n">
        <v>0</v>
      </c>
      <c r="F24" s="7" t="n">
        <v>0</v>
      </c>
      <c r="G24" s="7">
        <f>E24+F24</f>
        <v/>
      </c>
      <c r="H24" s="8">
        <f>IFERROR(G24/D24,0)</f>
        <v/>
      </c>
      <c r="I24" s="7">
        <f>D24-G24</f>
        <v/>
      </c>
      <c r="J24" s="7">
        <f>G24*0.1</f>
        <v/>
      </c>
      <c r="K24" s="7">
        <f>G24-J24</f>
        <v/>
      </c>
      <c r="L24" s="5">
        <f>IFS(D24=0,"",H24=1,"COMPLETE",H24&gt;=0.9,"NEAR COMPLETE",H24&gt;0,"IN PROGRESS",TRUE,"NOT STARTED")</f>
        <v/>
      </c>
    </row>
    <row r="25">
      <c r="A25" s="5" t="n">
        <v>20</v>
      </c>
      <c r="B25" s="6" t="inlineStr">
        <is>
          <t>35 — Marine Construction</t>
        </is>
      </c>
      <c r="C25" s="6" t="inlineStr">
        <is>
          <t>Mooring hardware</t>
        </is>
      </c>
      <c r="D25" s="7" t="n">
        <v>880000</v>
      </c>
      <c r="E25" s="7" t="n">
        <v>0</v>
      </c>
      <c r="F25" s="7" t="n">
        <v>0</v>
      </c>
      <c r="G25" s="7">
        <f>E25+F25</f>
        <v/>
      </c>
      <c r="H25" s="8">
        <f>IFERROR(G25/D25,0)</f>
        <v/>
      </c>
      <c r="I25" s="7">
        <f>D25-G25</f>
        <v/>
      </c>
      <c r="J25" s="7">
        <f>G25*0.1</f>
        <v/>
      </c>
      <c r="K25" s="7">
        <f>G25-J25</f>
        <v/>
      </c>
      <c r="L25" s="5">
        <f>IFS(D25=0,"",H25=1,"COMPLETE",H25&gt;=0.9,"NEAR COMPLETE",H25&gt;0,"IN PROGRESS",TRUE,"NOT STARTED")</f>
        <v/>
      </c>
    </row>
    <row r="26">
      <c r="A26" s="5" t="n">
        <v>21</v>
      </c>
      <c r="B26" s="6" t="inlineStr">
        <is>
          <t>35 — Marine Construction</t>
        </is>
      </c>
      <c r="C26" s="6" t="inlineStr">
        <is>
          <t>Demobilization &amp; site restoration</t>
        </is>
      </c>
      <c r="D26" s="7" t="n">
        <v>320000</v>
      </c>
      <c r="E26" s="7" t="n">
        <v>0</v>
      </c>
      <c r="F26" s="7" t="n">
        <v>0</v>
      </c>
      <c r="G26" s="7">
        <f>E26+F26</f>
        <v/>
      </c>
      <c r="H26" s="8">
        <f>IFERROR(G26/D26,0)</f>
        <v/>
      </c>
      <c r="I26" s="7">
        <f>D26-G26</f>
        <v/>
      </c>
      <c r="J26" s="7">
        <f>G26*0.1</f>
        <v/>
      </c>
      <c r="K26" s="7">
        <f>G26-J26</f>
        <v/>
      </c>
      <c r="L26" s="5">
        <f>IFS(D26=0,"",H26=1,"COMPLETE",H26&gt;=0.9,"NEAR COMPLETE",H26&gt;0,"IN PROGRESS",TRUE,"NOT STARTED")</f>
        <v/>
      </c>
    </row>
    <row r="27" ht="8" customHeight="1"/>
    <row r="28">
      <c r="B28" s="9" t="inlineStr">
        <is>
          <t>DIVISION SUBTOTALS</t>
        </is>
      </c>
    </row>
    <row r="29">
      <c r="A29" s="10" t="n"/>
      <c r="B29" s="11" t="inlineStr">
        <is>
          <t>01 — General Requirements</t>
        </is>
      </c>
      <c r="C29" s="11" t="inlineStr">
        <is>
          <t>(SUMIFS by division)</t>
        </is>
      </c>
      <c r="D29" s="12">
        <f>SUMIFS(D$6:D$26,$B$6:$B$26,$B29)</f>
        <v/>
      </c>
      <c r="E29" s="12">
        <f>SUMIFS(E$6:E$26,$B$6:$B$26,$B29)</f>
        <v/>
      </c>
      <c r="F29" s="12">
        <f>SUMIFS(F$6:F$26,$B$6:$B$26,$B29)</f>
        <v/>
      </c>
      <c r="G29" s="12">
        <f>SUMIFS(G$6:G$26,$B$6:$B$26,$B29)</f>
        <v/>
      </c>
      <c r="H29" s="13">
        <f>IFERROR(G29/D29,0)</f>
        <v/>
      </c>
      <c r="I29" s="12">
        <f>SUMIFS(I$6:I$26,$B$6:$B$26,$B29)</f>
        <v/>
      </c>
      <c r="J29" s="12">
        <f>SUMIFS(J$6:J$26,$B$6:$B$26,$B29)</f>
        <v/>
      </c>
      <c r="K29" s="12">
        <f>SUMIFS(K$6:K$26,$B$6:$B$26,$B29)</f>
        <v/>
      </c>
      <c r="L29" s="14">
        <f>IFS(D29=0,"",H29=1,"COMPLETE",H29&gt;=0.9,"NEAR COMPLETE",H29&gt;0,"IN PROGRESS",TRUE,"NOT STARTED")</f>
        <v/>
      </c>
    </row>
    <row r="30">
      <c r="A30" s="10" t="n"/>
      <c r="B30" s="11" t="inlineStr">
        <is>
          <t>02 — Existing Conditions</t>
        </is>
      </c>
      <c r="C30" s="11" t="inlineStr">
        <is>
          <t>(SUMIFS by division)</t>
        </is>
      </c>
      <c r="D30" s="12">
        <f>SUMIFS(D$6:D$26,$B$6:$B$26,$B30)</f>
        <v/>
      </c>
      <c r="E30" s="12">
        <f>SUMIFS(E$6:E$26,$B$6:$B$26,$B30)</f>
        <v/>
      </c>
      <c r="F30" s="12">
        <f>SUMIFS(F$6:F$26,$B$6:$B$26,$B30)</f>
        <v/>
      </c>
      <c r="G30" s="12">
        <f>SUMIFS(G$6:G$26,$B$6:$B$26,$B30)</f>
        <v/>
      </c>
      <c r="H30" s="13">
        <f>IFERROR(G30/D30,0)</f>
        <v/>
      </c>
      <c r="I30" s="12">
        <f>SUMIFS(I$6:I$26,$B$6:$B$26,$B30)</f>
        <v/>
      </c>
      <c r="J30" s="12">
        <f>SUMIFS(J$6:J$26,$B$6:$B$26,$B30)</f>
        <v/>
      </c>
      <c r="K30" s="12">
        <f>SUMIFS(K$6:K$26,$B$6:$B$26,$B30)</f>
        <v/>
      </c>
      <c r="L30" s="14">
        <f>IFS(D30=0,"",H30=1,"COMPLETE",H30&gt;=0.9,"NEAR COMPLETE",H30&gt;0,"IN PROGRESS",TRUE,"NOT STARTED")</f>
        <v/>
      </c>
    </row>
    <row r="31">
      <c r="A31" s="10" t="n"/>
      <c r="B31" s="11" t="inlineStr">
        <is>
          <t>03 — Concrete</t>
        </is>
      </c>
      <c r="C31" s="11" t="inlineStr">
        <is>
          <t>(SUMIFS by division)</t>
        </is>
      </c>
      <c r="D31" s="12">
        <f>SUMIFS(D$6:D$26,$B$6:$B$26,$B31)</f>
        <v/>
      </c>
      <c r="E31" s="12">
        <f>SUMIFS(E$6:E$26,$B$6:$B$26,$B31)</f>
        <v/>
      </c>
      <c r="F31" s="12">
        <f>SUMIFS(F$6:F$26,$B$6:$B$26,$B31)</f>
        <v/>
      </c>
      <c r="G31" s="12">
        <f>SUMIFS(G$6:G$26,$B$6:$B$26,$B31)</f>
        <v/>
      </c>
      <c r="H31" s="13">
        <f>IFERROR(G31/D31,0)</f>
        <v/>
      </c>
      <c r="I31" s="12">
        <f>SUMIFS(I$6:I$26,$B$6:$B$26,$B31)</f>
        <v/>
      </c>
      <c r="J31" s="12">
        <f>SUMIFS(J$6:J$26,$B$6:$B$26,$B31)</f>
        <v/>
      </c>
      <c r="K31" s="12">
        <f>SUMIFS(K$6:K$26,$B$6:$B$26,$B31)</f>
        <v/>
      </c>
      <c r="L31" s="14">
        <f>IFS(D31=0,"",H31=1,"COMPLETE",H31&gt;=0.9,"NEAR COMPLETE",H31&gt;0,"IN PROGRESS",TRUE,"NOT STARTED")</f>
        <v/>
      </c>
    </row>
    <row r="32">
      <c r="A32" s="10" t="n"/>
      <c r="B32" s="11" t="inlineStr">
        <is>
          <t>05 — Metals</t>
        </is>
      </c>
      <c r="C32" s="11" t="inlineStr">
        <is>
          <t>(SUMIFS by division)</t>
        </is>
      </c>
      <c r="D32" s="12">
        <f>SUMIFS(D$6:D$26,$B$6:$B$26,$B32)</f>
        <v/>
      </c>
      <c r="E32" s="12">
        <f>SUMIFS(E$6:E$26,$B$6:$B$26,$B32)</f>
        <v/>
      </c>
      <c r="F32" s="12">
        <f>SUMIFS(F$6:F$26,$B$6:$B$26,$B32)</f>
        <v/>
      </c>
      <c r="G32" s="12">
        <f>SUMIFS(G$6:G$26,$B$6:$B$26,$B32)</f>
        <v/>
      </c>
      <c r="H32" s="13">
        <f>IFERROR(G32/D32,0)</f>
        <v/>
      </c>
      <c r="I32" s="12">
        <f>SUMIFS(I$6:I$26,$B$6:$B$26,$B32)</f>
        <v/>
      </c>
      <c r="J32" s="12">
        <f>SUMIFS(J$6:J$26,$B$6:$B$26,$B32)</f>
        <v/>
      </c>
      <c r="K32" s="12">
        <f>SUMIFS(K$6:K$26,$B$6:$B$26,$B32)</f>
        <v/>
      </c>
      <c r="L32" s="14">
        <f>IFS(D32=0,"",H32=1,"COMPLETE",H32&gt;=0.9,"NEAR COMPLETE",H32&gt;0,"IN PROGRESS",TRUE,"NOT STARTED")</f>
        <v/>
      </c>
    </row>
    <row r="33">
      <c r="A33" s="10" t="n"/>
      <c r="B33" s="11" t="inlineStr">
        <is>
          <t>31 — Earthwork</t>
        </is>
      </c>
      <c r="C33" s="11" t="inlineStr">
        <is>
          <t>(SUMIFS by division)</t>
        </is>
      </c>
      <c r="D33" s="12">
        <f>SUMIFS(D$6:D$26,$B$6:$B$26,$B33)</f>
        <v/>
      </c>
      <c r="E33" s="12">
        <f>SUMIFS(E$6:E$26,$B$6:$B$26,$B33)</f>
        <v/>
      </c>
      <c r="F33" s="12">
        <f>SUMIFS(F$6:F$26,$B$6:$B$26,$B33)</f>
        <v/>
      </c>
      <c r="G33" s="12">
        <f>SUMIFS(G$6:G$26,$B$6:$B$26,$B33)</f>
        <v/>
      </c>
      <c r="H33" s="13">
        <f>IFERROR(G33/D33,0)</f>
        <v/>
      </c>
      <c r="I33" s="12">
        <f>SUMIFS(I$6:I$26,$B$6:$B$26,$B33)</f>
        <v/>
      </c>
      <c r="J33" s="12">
        <f>SUMIFS(J$6:J$26,$B$6:$B$26,$B33)</f>
        <v/>
      </c>
      <c r="K33" s="12">
        <f>SUMIFS(K$6:K$26,$B$6:$B$26,$B33)</f>
        <v/>
      </c>
      <c r="L33" s="14">
        <f>IFS(D33=0,"",H33=1,"COMPLETE",H33&gt;=0.9,"NEAR COMPLETE",H33&gt;0,"IN PROGRESS",TRUE,"NOT STARTED")</f>
        <v/>
      </c>
    </row>
    <row r="34">
      <c r="A34" s="10" t="n"/>
      <c r="B34" s="11" t="inlineStr">
        <is>
          <t>33 — Utilities</t>
        </is>
      </c>
      <c r="C34" s="11" t="inlineStr">
        <is>
          <t>(SUMIFS by division)</t>
        </is>
      </c>
      <c r="D34" s="12">
        <f>SUMIFS(D$6:D$26,$B$6:$B$26,$B34)</f>
        <v/>
      </c>
      <c r="E34" s="12">
        <f>SUMIFS(E$6:E$26,$B$6:$B$26,$B34)</f>
        <v/>
      </c>
      <c r="F34" s="12">
        <f>SUMIFS(F$6:F$26,$B$6:$B$26,$B34)</f>
        <v/>
      </c>
      <c r="G34" s="12">
        <f>SUMIFS(G$6:G$26,$B$6:$B$26,$B34)</f>
        <v/>
      </c>
      <c r="H34" s="13">
        <f>IFERROR(G34/D34,0)</f>
        <v/>
      </c>
      <c r="I34" s="12">
        <f>SUMIFS(I$6:I$26,$B$6:$B$26,$B34)</f>
        <v/>
      </c>
      <c r="J34" s="12">
        <f>SUMIFS(J$6:J$26,$B$6:$B$26,$B34)</f>
        <v/>
      </c>
      <c r="K34" s="12">
        <f>SUMIFS(K$6:K$26,$B$6:$B$26,$B34)</f>
        <v/>
      </c>
      <c r="L34" s="14">
        <f>IFS(D34=0,"",H34=1,"COMPLETE",H34&gt;=0.9,"NEAR COMPLETE",H34&gt;0,"IN PROGRESS",TRUE,"NOT STARTED")</f>
        <v/>
      </c>
    </row>
    <row r="35">
      <c r="A35" s="10" t="n"/>
      <c r="B35" s="11" t="inlineStr">
        <is>
          <t>35 — Marine Construction</t>
        </is>
      </c>
      <c r="C35" s="11" t="inlineStr">
        <is>
          <t>(SUMIFS by division)</t>
        </is>
      </c>
      <c r="D35" s="12">
        <f>SUMIFS(D$6:D$26,$B$6:$B$26,$B35)</f>
        <v/>
      </c>
      <c r="E35" s="12">
        <f>SUMIFS(E$6:E$26,$B$6:$B$26,$B35)</f>
        <v/>
      </c>
      <c r="F35" s="12">
        <f>SUMIFS(F$6:F$26,$B$6:$B$26,$B35)</f>
        <v/>
      </c>
      <c r="G35" s="12">
        <f>SUMIFS(G$6:G$26,$B$6:$B$26,$B35)</f>
        <v/>
      </c>
      <c r="H35" s="13">
        <f>IFERROR(G35/D35,0)</f>
        <v/>
      </c>
      <c r="I35" s="12">
        <f>SUMIFS(I$6:I$26,$B$6:$B$26,$B35)</f>
        <v/>
      </c>
      <c r="J35" s="12">
        <f>SUMIFS(J$6:J$26,$B$6:$B$26,$B35)</f>
        <v/>
      </c>
      <c r="K35" s="12">
        <f>SUMIFS(K$6:K$26,$B$6:$B$26,$B35)</f>
        <v/>
      </c>
      <c r="L35" s="14">
        <f>IFS(D35=0,"",H35=1,"COMPLETE",H35&gt;=0.9,"NEAR COMPLETE",H35&gt;0,"IN PROGRESS",TRUE,"NOT STARTED")</f>
        <v/>
      </c>
    </row>
    <row r="36" ht="8" customHeight="1"/>
    <row r="37">
      <c r="A37" s="15" t="n"/>
      <c r="B37" s="16" t="inlineStr">
        <is>
          <t>PROJECT TOTAL</t>
        </is>
      </c>
      <c r="C37" s="16" t="inlineStr">
        <is>
          <t>(SUM across all line items)</t>
        </is>
      </c>
      <c r="D37" s="17">
        <f>SUM(D6:D26)</f>
        <v/>
      </c>
      <c r="E37" s="17">
        <f>SUM(E6:E26)</f>
        <v/>
      </c>
      <c r="F37" s="17">
        <f>SUM(F6:F26)</f>
        <v/>
      </c>
      <c r="G37" s="17">
        <f>SUM(G6:G26)</f>
        <v/>
      </c>
      <c r="H37" s="18">
        <f>IFERROR(G37/D37,0)</f>
        <v/>
      </c>
      <c r="I37" s="17">
        <f>SUM(I6:I26)</f>
        <v/>
      </c>
      <c r="J37" s="17">
        <f>SUM(J6:J26)</f>
        <v/>
      </c>
      <c r="K37" s="17">
        <f>SUM(K6:K26)</f>
        <v/>
      </c>
      <c r="L37" s="19">
        <f>IFS(D37=0,"",H37=1,"COMPLETE",H37&gt;=0.9,"NEAR COMPLETE",H37&gt;0,"IN PROGRESS",TRUE,"NOT STARTED")</f>
        <v/>
      </c>
    </row>
    <row r="40">
      <c r="B40" s="20" t="inlineStr">
        <is>
          <t>Notes for the formula columns:</t>
        </is>
      </c>
    </row>
    <row r="41" ht="16" customHeight="1">
      <c r="B41" s="21" t="inlineStr">
        <is>
          <t>Total Billed (G)         =  Previously Billed (E) + This Period (F)</t>
        </is>
      </c>
    </row>
    <row r="42" ht="16" customHeight="1">
      <c r="B42" s="21" t="inlineStr">
        <is>
          <t>% Complete (H)           =  Total Billed (G) / Total Contract Amount (D)</t>
        </is>
      </c>
    </row>
    <row r="43" ht="16" customHeight="1">
      <c r="B43" s="21" t="inlineStr">
        <is>
          <t>Remaining (I)            =  Total Contract Amount (D) − Total Billed (G)</t>
        </is>
      </c>
    </row>
    <row r="44" ht="16" customHeight="1">
      <c r="B44" s="21" t="inlineStr">
        <is>
          <t>Retention 10% (J)        =  Total Billed (G) × 10%</t>
        </is>
      </c>
    </row>
    <row r="45" ht="16" customHeight="1">
      <c r="B45" s="21" t="inlineStr">
        <is>
          <t>Net Earned to Date (K)   =  Total Billed (G) − Retention (J)</t>
        </is>
      </c>
    </row>
    <row r="46" ht="16" customHeight="1">
      <c r="B46" s="21" t="inlineStr">
        <is>
          <t>Status (L)               =  COMPLETE | NEAR COMPLETE (≥90%) | IN PROGRESS (&gt;0%) | NOT STARTED (0%)</t>
        </is>
      </c>
    </row>
    <row r="47" ht="16" customHeight="1">
      <c r="B47" s="21" t="inlineStr">
        <is>
          <t>Division subtotals       =  SUMIFS by division (one row per division)</t>
        </is>
      </c>
    </row>
    <row r="48" ht="16" customHeight="1">
      <c r="B48" s="21" t="inlineStr">
        <is>
          <t>Project Total            =  SUM of each numeric column across all line items</t>
        </is>
      </c>
    </row>
  </sheetData>
  <mergeCells count="13">
    <mergeCell ref="A2:L2"/>
    <mergeCell ref="B43:L43"/>
    <mergeCell ref="B44:L44"/>
    <mergeCell ref="B48:L48"/>
    <mergeCell ref="A1:L1"/>
    <mergeCell ref="B47:L47"/>
    <mergeCell ref="B28:L28"/>
    <mergeCell ref="B42:L42"/>
    <mergeCell ref="B46:L46"/>
    <mergeCell ref="A3:L3"/>
    <mergeCell ref="B45:L45"/>
    <mergeCell ref="B40:L40"/>
    <mergeCell ref="B41:L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2026-05-01T20:47:07Z</dcterms:created>
  <dcterms:modified xmlns:dcterms="http://purl.org/dc/terms/" xmlns:xsi="http://www.w3.org/2001/XMLSchema-instance" xsi:type="dcterms:W3CDTF">2026-05-01T20:47:07Z</dcterms:modified>
</cp:coreProperties>
</file>